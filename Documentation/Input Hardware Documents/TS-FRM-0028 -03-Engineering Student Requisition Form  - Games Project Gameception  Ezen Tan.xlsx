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ob.sharepoint.com/sites/engineering-asset-files/Technical Services/11. TS Forms/TS-FRM-0028 -Engineering Student Requisition Form/"/>
    </mc:Choice>
  </mc:AlternateContent>
  <xr:revisionPtr revIDLastSave="0" documentId="8_{C4B68DA3-A10B-4508-B247-5E90A52CB5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 in progress" sheetId="3" r:id="rId1"/>
    <sheet name="Data validation" sheetId="2" state="hidden" r:id="rId2"/>
  </sheets>
  <definedNames>
    <definedName name="_xlnm.Print_Area" localSheetId="0">'Work in progress'!$A$1:$G$53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3" l="1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36" i="3"/>
  <c r="G37" i="3"/>
  <c r="G3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Richard J Walker</author>
  </authors>
  <commentList>
    <comment ref="A15" authorId="0" shapeId="0" xr:uid="{6C8BC559-01BD-4295-A05A-AEFFA866CAE0}">
      <text>
        <r>
          <rPr>
            <b/>
            <sz val="9"/>
            <color indexed="81"/>
            <rFont val="Tahoma"/>
            <family val="2"/>
          </rPr>
          <t xml:space="preserve">Supplier Product Code/Stock Number/Order Code etc. These tend to be 5-10 numbers &amp;/or letters long. Please avoid using the Manufacturers Part Number where possible. </t>
        </r>
      </text>
    </comment>
    <comment ref="B15" authorId="0" shapeId="0" xr:uid="{7613157D-8D2D-4BF5-9635-A11762E134FB}">
      <text>
        <r>
          <rPr>
            <b/>
            <sz val="9"/>
            <color indexed="81"/>
            <rFont val="Tahoma"/>
            <family val="2"/>
          </rPr>
          <t>Single words such as "Op-Amp" or "Motor" is not sufficient information should we need to find an alternative supplier.</t>
        </r>
      </text>
    </comment>
  </commentList>
</comments>
</file>

<file path=xl/sharedStrings.xml><?xml version="1.0" encoding="utf-8"?>
<sst xmlns="http://schemas.openxmlformats.org/spreadsheetml/2006/main" count="142" uniqueCount="95">
  <si>
    <t>Engineering Student Requisition Form
Materials and Hardware</t>
  </si>
  <si>
    <t>1: Your Details</t>
  </si>
  <si>
    <t>2: Supplier Details</t>
  </si>
  <si>
    <t>Your name:</t>
  </si>
  <si>
    <t>Ezen Tan</t>
  </si>
  <si>
    <t>Supplier Name:</t>
  </si>
  <si>
    <r>
      <t xml:space="preserve">Your email ID - eg.. </t>
    </r>
    <r>
      <rPr>
        <i/>
        <sz val="11"/>
        <rFont val="Calibri"/>
        <family val="2"/>
      </rPr>
      <t>ab12345</t>
    </r>
  </si>
  <si>
    <t>mo23274</t>
  </si>
  <si>
    <t>Programme:</t>
  </si>
  <si>
    <t>Computer Science (MEng)</t>
  </si>
  <si>
    <t>Add website if not found on Blackboard supplier list</t>
  </si>
  <si>
    <t>Project Unit code:</t>
  </si>
  <si>
    <t>G403</t>
  </si>
  <si>
    <t>(If group project) Your Group name / number:</t>
  </si>
  <si>
    <t>Gameception</t>
  </si>
  <si>
    <t>Project Supervisor:</t>
  </si>
  <si>
    <t>Sarah Conolly</t>
  </si>
  <si>
    <t>Date:</t>
  </si>
  <si>
    <t>One supplier per sheet</t>
  </si>
  <si>
    <t>3: Your Order</t>
  </si>
  <si>
    <t>Product Code</t>
  </si>
  <si>
    <t>ITEM DESCRIPTION (Please give a reasonable description)</t>
  </si>
  <si>
    <t>Qty</t>
  </si>
  <si>
    <t>UNIT COST £</t>
  </si>
  <si>
    <t>SUB TOTAL £</t>
  </si>
  <si>
    <t xml:space="preserve">Sub-Total £  </t>
  </si>
  <si>
    <t xml:space="preserve">VAT £  </t>
  </si>
  <si>
    <t xml:space="preserve">Total £  </t>
  </si>
  <si>
    <r>
      <rPr>
        <b/>
        <sz val="11"/>
        <color rgb="FF000000"/>
        <rFont val="Calibri"/>
        <family val="2"/>
        <scheme val="minor"/>
      </rPr>
      <t xml:space="preserve">~ Once you have completed your requisition - please </t>
    </r>
    <r>
      <rPr>
        <b/>
        <u/>
        <sz val="11"/>
        <color rgb="FFFF0000"/>
        <rFont val="Calibri"/>
        <family val="2"/>
        <scheme val="minor"/>
      </rPr>
      <t>email this to your Project Supervisor</t>
    </r>
    <r>
      <rPr>
        <b/>
        <sz val="11"/>
        <color rgb="FF000000"/>
        <rFont val="Calibri"/>
        <family val="2"/>
        <scheme val="minor"/>
      </rPr>
      <t xml:space="preserve"> who will check your requirements and forward this on for processing ~  *This form must be completed and sent electronically.*</t>
    </r>
  </si>
  <si>
    <t xml:space="preserve">Approved requisitions and fulfilment enquiries should be emailed to: </t>
  </si>
  <si>
    <r>
      <t>4: Requisitioner Reference Codes</t>
    </r>
    <r>
      <rPr>
        <b/>
        <sz val="12"/>
        <color rgb="FFFF0000"/>
        <rFont val="Calibri"/>
        <family val="2"/>
        <scheme val="minor"/>
      </rPr>
      <t xml:space="preserve"> </t>
    </r>
    <r>
      <rPr>
        <i/>
        <sz val="12"/>
        <color rgb="FFFF0000"/>
        <rFont val="Calibri"/>
        <family val="2"/>
        <scheme val="minor"/>
      </rPr>
      <t>(Office use only)</t>
    </r>
  </si>
  <si>
    <t>Notes:</t>
  </si>
  <si>
    <t>Punchout</t>
  </si>
  <si>
    <t>Requisition DATE</t>
  </si>
  <si>
    <t>Non-Punchout</t>
  </si>
  <si>
    <t>Final Cost</t>
  </si>
  <si>
    <t>CC</t>
  </si>
  <si>
    <t>Budget Code</t>
  </si>
  <si>
    <t>Back ordered items?</t>
  </si>
  <si>
    <t>ERP REQ No.</t>
  </si>
  <si>
    <t>DATE of reciept</t>
  </si>
  <si>
    <t>ERP Purchase No.</t>
  </si>
  <si>
    <t>ERP Receipt No.</t>
  </si>
  <si>
    <t>Project Requisiton Form Ver3</t>
  </si>
  <si>
    <t>List of Courses</t>
  </si>
  <si>
    <t>Corresponding Mailbox</t>
  </si>
  <si>
    <t>Computer Science (BSc)</t>
  </si>
  <si>
    <t>fse-student-purchasing@bristol.ac.uk</t>
  </si>
  <si>
    <t>Mathematics and Computer Science (BSc)</t>
  </si>
  <si>
    <t xml:space="preserve">Mathematics and Computer Science (MEng) </t>
  </si>
  <si>
    <t>Computer Science with Innovation (BEng)</t>
  </si>
  <si>
    <t xml:space="preserve">Computer Science with Innovation (MEng) </t>
  </si>
  <si>
    <t xml:space="preserve">Engineering Mathematics (BEng) </t>
  </si>
  <si>
    <t>Engineering Mathematics (MEng)</t>
  </si>
  <si>
    <t>Mechanical Engineering (BEng)</t>
  </si>
  <si>
    <t>fse-eng-stores@bristol.ac.uk</t>
  </si>
  <si>
    <t>Mechanical Engineering (MEng)</t>
  </si>
  <si>
    <t>Electrical and Electronic Engineering (BEng)</t>
  </si>
  <si>
    <t xml:space="preserve">Electrical and Electronic Engineering (MEng) </t>
  </si>
  <si>
    <t xml:space="preserve">Mechanical and Electrical Engineering (BEng) </t>
  </si>
  <si>
    <t>Mechanical and Electrical Engineering (MEng)_x000D_</t>
  </si>
  <si>
    <t>Electrical and Electronic Engineering with Innovation (BEng)</t>
  </si>
  <si>
    <t>Electrical and Electronic Engineering with Innovation (MEng)</t>
  </si>
  <si>
    <t xml:space="preserve">Computer Science and Electronics (BEng) </t>
  </si>
  <si>
    <t xml:space="preserve">Computer Science and Electronics (MEng) </t>
  </si>
  <si>
    <t>Aerospace Engineering (BEng)</t>
  </si>
  <si>
    <t>Aerospace Engineering (MEng)</t>
  </si>
  <si>
    <t>Civil Engineering (BEng)</t>
  </si>
  <si>
    <t>Civil Engineering (MEng)</t>
  </si>
  <si>
    <t>Engineering Design (BEng)</t>
  </si>
  <si>
    <t>Engineering Design (MEng)_x000D_</t>
  </si>
  <si>
    <t>Computer Science (MSc)</t>
  </si>
  <si>
    <t>Immersive Technologies (MSc)</t>
  </si>
  <si>
    <t>Cyber Security (MSc)</t>
  </si>
  <si>
    <t>Immersive Arts (MA)</t>
  </si>
  <si>
    <t>Engineering Mathematics (MSc)</t>
  </si>
  <si>
    <t>Robotics (MSc)</t>
  </si>
  <si>
    <t xml:space="preserve">Data Science (MSc) </t>
  </si>
  <si>
    <t>Aerial Robotics (MSc)</t>
  </si>
  <si>
    <t>BioRobotics (MSc)</t>
  </si>
  <si>
    <t>Biomedical Engineering (MSc)</t>
  </si>
  <si>
    <t>Digital Health (MSc)</t>
  </si>
  <si>
    <t>Financial Technology with Data Science (MSc)</t>
  </si>
  <si>
    <t>Economics with Data Science (MSc)</t>
  </si>
  <si>
    <t>Communication Networks and Signal Processing (MSc)</t>
  </si>
  <si>
    <t>Image and Video Communications and Signal Processing (MSc)</t>
  </si>
  <si>
    <t>Optoelectronic and Quantum Technologies (MSc)</t>
  </si>
  <si>
    <t>Wireless Communication Systems and Signal Processing (MSc)</t>
  </si>
  <si>
    <t>Optical Communications and Signal Processing (MSc)</t>
  </si>
  <si>
    <t xml:space="preserve">Advanced Microelectronics Systems Engineering (MSc) </t>
  </si>
  <si>
    <t>Nuclear Science and Engineering (MSc)</t>
  </si>
  <si>
    <t>Engineering with Management (MSc)</t>
  </si>
  <si>
    <t xml:space="preserve">Earthquake Engineering and Infrastructure Resilience (MSc) </t>
  </si>
  <si>
    <t>Water and Environmental Management (MSc)</t>
  </si>
  <si>
    <t>Advanced Composites (MSc)_x000D_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</si>
</sst>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name val="Arial"/>
      <family val="2"/>
    </font>
    <font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sz val="11"/>
      <name val="Calibri"/>
      <family val="2"/>
    </font>
    <font>
      <b/>
      <i/>
      <sz val="11"/>
      <name val="Arial Narrow"/>
      <family val="2"/>
    </font>
    <font>
      <i/>
      <sz val="11"/>
      <name val="Calibri"/>
      <family val="2"/>
    </font>
    <font>
      <i/>
      <sz val="11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20"/>
      <name val="Inter Display Medium"/>
    </font>
    <font>
      <sz val="10"/>
      <name val="Inter Display"/>
    </font>
    <font>
      <b/>
      <sz val="18"/>
      <name val="Calibri"/>
      <family val="2"/>
      <scheme val="minor"/>
    </font>
    <font>
      <b/>
      <sz val="9"/>
      <color indexed="81"/>
      <name val="Tahoma"/>
      <family val="2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31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31"/>
      </patternFill>
    </fill>
    <fill>
      <patternFill patternType="solid">
        <fgColor theme="0" tint="-0.34998626667073579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31"/>
      </right>
      <top style="medium">
        <color indexed="64"/>
      </top>
      <bottom style="medium">
        <color indexed="64"/>
      </bottom>
      <diagonal/>
    </border>
    <border>
      <left style="medium">
        <color indexed="31"/>
      </left>
      <right style="medium">
        <color indexed="31"/>
      </right>
      <top style="medium">
        <color indexed="64"/>
      </top>
      <bottom style="medium">
        <color indexed="64"/>
      </bottom>
      <diagonal/>
    </border>
    <border>
      <left style="medium">
        <color indexed="3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 style="slantDashDot">
        <color indexed="64"/>
      </left>
      <right style="slantDashDot">
        <color indexed="64"/>
      </right>
      <top/>
      <bottom style="slantDashDot">
        <color indexed="64"/>
      </bottom>
      <diagonal/>
    </border>
    <border>
      <left style="slantDashDot">
        <color indexed="64"/>
      </left>
      <right style="slantDashDot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Dashed">
        <color indexed="64"/>
      </top>
      <bottom style="medium">
        <color indexed="64"/>
      </bottom>
      <diagonal/>
    </border>
    <border>
      <left/>
      <right/>
      <top style="mediumDashed">
        <color indexed="64"/>
      </top>
      <bottom style="medium">
        <color indexed="64"/>
      </bottom>
      <diagonal/>
    </border>
    <border>
      <left/>
      <right style="medium">
        <color indexed="64"/>
      </right>
      <top style="mediumDashed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09">
    <xf numFmtId="0" fontId="0" fillId="0" borderId="0" xfId="0"/>
    <xf numFmtId="0" fontId="1" fillId="0" borderId="0" xfId="0" applyFont="1"/>
    <xf numFmtId="0" fontId="2" fillId="0" borderId="4" xfId="0" applyFont="1" applyBorder="1" applyAlignment="1">
      <alignment horizontal="right" vertical="center"/>
    </xf>
    <xf numFmtId="0" fontId="2" fillId="0" borderId="17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0" fillId="0" borderId="0" xfId="0" applyFont="1"/>
    <xf numFmtId="0" fontId="11" fillId="0" borderId="0" xfId="1" applyFont="1"/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9" fillId="0" borderId="1" xfId="0" applyFont="1" applyBorder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0" fontId="9" fillId="0" borderId="32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1" fontId="10" fillId="0" borderId="11" xfId="0" applyNumberFormat="1" applyFont="1" applyBorder="1" applyAlignment="1">
      <alignment horizontal="center" vertical="center" wrapText="1"/>
    </xf>
    <xf numFmtId="2" fontId="10" fillId="0" borderId="11" xfId="0" applyNumberFormat="1" applyFont="1" applyBorder="1" applyAlignment="1">
      <alignment horizontal="center" vertical="center"/>
    </xf>
    <xf numFmtId="2" fontId="10" fillId="0" borderId="12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4" fontId="10" fillId="0" borderId="5" xfId="0" applyNumberFormat="1" applyFont="1" applyBorder="1" applyAlignment="1">
      <alignment horizontal="center" vertical="center"/>
    </xf>
    <xf numFmtId="4" fontId="7" fillId="0" borderId="5" xfId="0" applyNumberFormat="1" applyFont="1" applyBorder="1" applyAlignment="1">
      <alignment horizontal="center" vertical="center"/>
    </xf>
    <xf numFmtId="4" fontId="9" fillId="0" borderId="7" xfId="0" applyNumberFormat="1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7" fillId="0" borderId="9" xfId="0" applyFont="1" applyBorder="1" applyAlignment="1">
      <alignment horizontal="left" vertical="top"/>
    </xf>
    <xf numFmtId="0" fontId="10" fillId="0" borderId="23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25" xfId="0" applyFont="1" applyBorder="1"/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1" fillId="0" borderId="2" xfId="0" applyFont="1" applyBorder="1"/>
    <xf numFmtId="0" fontId="7" fillId="0" borderId="40" xfId="0" applyFont="1" applyBorder="1" applyAlignment="1">
      <alignment horizontal="center" vertical="center"/>
    </xf>
    <xf numFmtId="0" fontId="1" fillId="0" borderId="21" xfId="0" applyFont="1" applyBorder="1"/>
    <xf numFmtId="0" fontId="1" fillId="0" borderId="22" xfId="0" applyFont="1" applyBorder="1"/>
    <xf numFmtId="0" fontId="1" fillId="6" borderId="18" xfId="0" applyFont="1" applyFill="1" applyBorder="1"/>
    <xf numFmtId="0" fontId="1" fillId="6" borderId="19" xfId="0" applyFont="1" applyFill="1" applyBorder="1"/>
    <xf numFmtId="0" fontId="1" fillId="6" borderId="27" xfId="0" applyFont="1" applyFill="1" applyBorder="1"/>
    <xf numFmtId="0" fontId="9" fillId="0" borderId="24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4" fillId="2" borderId="4" xfId="0" applyFont="1" applyFill="1" applyBorder="1" applyAlignment="1">
      <alignment horizontal="right" vertical="center"/>
    </xf>
    <xf numFmtId="0" fontId="2" fillId="0" borderId="4" xfId="0" applyFont="1" applyBorder="1" applyAlignment="1">
      <alignment horizontal="right" vertical="center" wrapText="1"/>
    </xf>
    <xf numFmtId="0" fontId="2" fillId="0" borderId="16" xfId="0" applyFont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3" fillId="3" borderId="13" xfId="0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left" vertical="center"/>
    </xf>
    <xf numFmtId="0" fontId="3" fillId="3" borderId="15" xfId="0" applyFont="1" applyFill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2" fillId="4" borderId="47" xfId="0" applyFont="1" applyFill="1" applyBorder="1" applyAlignment="1">
      <alignment horizontal="center" vertical="center" wrapText="1"/>
    </xf>
    <xf numFmtId="0" fontId="2" fillId="4" borderId="4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5" fontId="1" fillId="0" borderId="6" xfId="0" applyNumberFormat="1" applyFont="1" applyBorder="1" applyAlignment="1">
      <alignment horizontal="left" vertical="center"/>
    </xf>
    <xf numFmtId="15" fontId="1" fillId="0" borderId="7" xfId="0" applyNumberFormat="1" applyFont="1" applyBorder="1" applyAlignment="1">
      <alignment horizontal="left" vertical="center"/>
    </xf>
    <xf numFmtId="0" fontId="0" fillId="0" borderId="26" xfId="0" applyBorder="1" applyAlignment="1">
      <alignment horizontal="center"/>
    </xf>
    <xf numFmtId="0" fontId="0" fillId="0" borderId="46" xfId="0" applyBorder="1" applyAlignment="1">
      <alignment horizontal="center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6" xfId="0" applyNumberFormat="1" applyFont="1" applyBorder="1" applyAlignment="1">
      <alignment horizontal="center" vertical="center" wrapText="1"/>
    </xf>
    <xf numFmtId="0" fontId="4" fillId="0" borderId="34" xfId="0" applyFont="1" applyBorder="1" applyAlignment="1">
      <alignment horizontal="left" vertical="top"/>
    </xf>
    <xf numFmtId="0" fontId="4" fillId="0" borderId="35" xfId="0" applyFont="1" applyBorder="1" applyAlignment="1">
      <alignment horizontal="left" vertical="top"/>
    </xf>
    <xf numFmtId="0" fontId="4" fillId="0" borderId="29" xfId="0" applyFont="1" applyBorder="1" applyAlignment="1">
      <alignment horizontal="left" vertical="top"/>
    </xf>
    <xf numFmtId="0" fontId="4" fillId="0" borderId="36" xfId="0" applyFont="1" applyBorder="1" applyAlignment="1">
      <alignment horizontal="left" vertical="top"/>
    </xf>
    <xf numFmtId="0" fontId="17" fillId="4" borderId="13" xfId="0" applyFont="1" applyFill="1" applyBorder="1" applyAlignment="1">
      <alignment horizontal="center" vertical="center"/>
    </xf>
    <xf numFmtId="0" fontId="17" fillId="4" borderId="14" xfId="0" applyFont="1" applyFill="1" applyBorder="1" applyAlignment="1">
      <alignment horizontal="center" vertical="center"/>
    </xf>
    <xf numFmtId="0" fontId="17" fillId="4" borderId="15" xfId="0" applyFont="1" applyFill="1" applyBorder="1" applyAlignment="1">
      <alignment horizontal="center" vertical="center"/>
    </xf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49" fontId="10" fillId="0" borderId="11" xfId="0" applyNumberFormat="1" applyFont="1" applyBorder="1" applyAlignment="1">
      <alignment horizontal="center" vertical="center" wrapText="1"/>
    </xf>
    <xf numFmtId="49" fontId="10" fillId="0" borderId="28" xfId="0" applyNumberFormat="1" applyFont="1" applyBorder="1" applyAlignment="1">
      <alignment horizontal="center" vertical="center" wrapText="1"/>
    </xf>
    <xf numFmtId="0" fontId="9" fillId="0" borderId="18" xfId="0" applyFont="1" applyBorder="1" applyAlignment="1">
      <alignment horizontal="right" vertical="center"/>
    </xf>
    <xf numFmtId="0" fontId="9" fillId="0" borderId="19" xfId="0" applyFont="1" applyBorder="1" applyAlignment="1">
      <alignment horizontal="right" vertical="center"/>
    </xf>
    <xf numFmtId="0" fontId="9" fillId="0" borderId="4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0" fillId="5" borderId="41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left" vertical="center"/>
    </xf>
    <xf numFmtId="0" fontId="20" fillId="5" borderId="43" xfId="0" applyFont="1" applyFill="1" applyBorder="1" applyAlignment="1">
      <alignment horizontal="left" vertical="center"/>
    </xf>
    <xf numFmtId="0" fontId="20" fillId="4" borderId="18" xfId="0" applyFont="1" applyFill="1" applyBorder="1" applyAlignment="1">
      <alignment horizontal="right" vertical="center" wrapText="1"/>
    </xf>
    <xf numFmtId="0" fontId="12" fillId="4" borderId="19" xfId="0" applyFont="1" applyFill="1" applyBorder="1" applyAlignment="1">
      <alignment horizontal="right" vertical="center" wrapText="1"/>
    </xf>
    <xf numFmtId="0" fontId="23" fillId="2" borderId="19" xfId="0" applyFont="1" applyFill="1" applyBorder="1" applyAlignment="1">
      <alignment horizontal="center" vertical="center" wrapText="1"/>
    </xf>
    <xf numFmtId="0" fontId="23" fillId="2" borderId="27" xfId="0" applyFont="1" applyFill="1" applyBorder="1" applyAlignment="1">
      <alignment horizontal="center" vertical="center" wrapText="1"/>
    </xf>
    <xf numFmtId="0" fontId="9" fillId="0" borderId="37" xfId="0" applyFont="1" applyBorder="1" applyAlignment="1">
      <alignment horizontal="right" vertical="center"/>
    </xf>
    <xf numFmtId="0" fontId="0" fillId="0" borderId="1" xfId="0" applyBorder="1" applyAlignment="1" applyProtection="1">
      <protection locked="0"/>
    </xf>
    <xf numFmtId="0" fontId="0" fillId="0" borderId="5" xfId="0" applyBorder="1" applyAlignment="1" applyProtection="1">
      <protection locked="0"/>
    </xf>
    <xf numFmtId="0" fontId="0" fillId="0" borderId="1" xfId="0" applyBorder="1" applyAlignment="1"/>
    <xf numFmtId="0" fontId="0" fillId="0" borderId="5" xfId="0" applyBorder="1" applyAlignment="1"/>
  </cellXfs>
  <cellStyles count="2">
    <cellStyle name="Hyperlink" xfId="1" builtinId="8"/>
    <cellStyle name="Normal" xfId="0" builtinId="0"/>
  </cellStyles>
  <dxfs count="1">
    <dxf>
      <font>
        <b val="0"/>
        <condense val="0"/>
        <extend val="0"/>
        <color indexed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7D7D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484C7"/>
      <color rgb="FFEF4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72000</xdr:colOff>
      <xdr:row>0</xdr:row>
      <xdr:rowOff>108000</xdr:rowOff>
    </xdr:from>
    <xdr:to>
      <xdr:col>0</xdr:col>
      <xdr:colOff>864000</xdr:colOff>
      <xdr:row>2</xdr:row>
      <xdr:rowOff>32100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98EFC8-B7E0-477B-AD30-533B501607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39" t="14000" r="6237" b="14000"/>
        <a:stretch/>
      </xdr:blipFill>
      <xdr:spPr>
        <a:xfrm>
          <a:off x="72000" y="108000"/>
          <a:ext cx="792000" cy="64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3C744-7D24-4C30-A425-7E3C5FFFCFFA}">
  <sheetPr>
    <pageSetUpPr fitToPage="1"/>
  </sheetPr>
  <dimension ref="A1:H84"/>
  <sheetViews>
    <sheetView showGridLines="0" tabSelected="1" topLeftCell="A3" zoomScale="90" zoomScaleNormal="90" zoomScaleSheetLayoutView="80" workbookViewId="0">
      <selection activeCell="E5" sqref="E5:G6"/>
    </sheetView>
  </sheetViews>
  <sheetFormatPr defaultColWidth="9.140625" defaultRowHeight="12.75"/>
  <cols>
    <col min="1" max="1" width="26" style="1" customWidth="1"/>
    <col min="2" max="2" width="15.85546875" style="1" customWidth="1"/>
    <col min="3" max="3" width="20" style="1" customWidth="1"/>
    <col min="4" max="4" width="16.28515625" style="1" customWidth="1"/>
    <col min="5" max="5" width="10.28515625" style="1" customWidth="1"/>
    <col min="6" max="6" width="13.85546875" style="1" customWidth="1"/>
    <col min="7" max="7" width="14.85546875" style="1" customWidth="1"/>
    <col min="8" max="16384" width="9.140625" style="1"/>
  </cols>
  <sheetData>
    <row r="1" spans="1:7" ht="42" customHeight="1">
      <c r="A1" s="46" t="s">
        <v>0</v>
      </c>
      <c r="B1" s="47"/>
      <c r="C1" s="47"/>
      <c r="D1" s="47"/>
      <c r="E1" s="47"/>
      <c r="F1" s="47"/>
      <c r="G1" s="47"/>
    </row>
    <row r="2" spans="1:7" ht="15" customHeight="1">
      <c r="A2" s="47"/>
      <c r="B2" s="47"/>
      <c r="C2" s="47"/>
      <c r="D2" s="47"/>
      <c r="E2" s="47"/>
      <c r="F2" s="47"/>
      <c r="G2" s="47"/>
    </row>
    <row r="3" spans="1:7" ht="15" customHeight="1" thickBot="1">
      <c r="A3" s="48"/>
      <c r="B3" s="48"/>
      <c r="C3" s="48"/>
      <c r="D3" s="48"/>
      <c r="E3" s="48"/>
      <c r="F3" s="48"/>
      <c r="G3" s="48"/>
    </row>
    <row r="4" spans="1:7" ht="21.75" thickBot="1">
      <c r="A4" s="49" t="s">
        <v>1</v>
      </c>
      <c r="B4" s="50"/>
      <c r="C4" s="51"/>
      <c r="D4" s="49" t="s">
        <v>2</v>
      </c>
      <c r="E4" s="50"/>
      <c r="F4" s="50"/>
      <c r="G4" s="51"/>
    </row>
    <row r="5" spans="1:7" ht="15">
      <c r="A5" s="3" t="s">
        <v>3</v>
      </c>
      <c r="B5" s="52" t="s">
        <v>4</v>
      </c>
      <c r="C5" s="53"/>
      <c r="D5" s="54" t="s">
        <v>5</v>
      </c>
      <c r="E5" s="56"/>
      <c r="F5" s="56"/>
      <c r="G5" s="57"/>
    </row>
    <row r="6" spans="1:7" ht="15">
      <c r="A6" s="2" t="s">
        <v>6</v>
      </c>
      <c r="B6" s="105" t="s">
        <v>7</v>
      </c>
      <c r="C6" s="106"/>
      <c r="D6" s="55"/>
      <c r="E6" s="58"/>
      <c r="F6" s="58"/>
      <c r="G6" s="59"/>
    </row>
    <row r="7" spans="1:7" ht="15" customHeight="1">
      <c r="A7" s="43" t="s">
        <v>8</v>
      </c>
      <c r="B7" s="105" t="s">
        <v>9</v>
      </c>
      <c r="C7" s="106"/>
      <c r="D7" s="60" t="s">
        <v>10</v>
      </c>
      <c r="E7" s="62"/>
      <c r="F7" s="62"/>
      <c r="G7" s="63"/>
    </row>
    <row r="8" spans="1:7" ht="15">
      <c r="A8" s="2" t="s">
        <v>11</v>
      </c>
      <c r="B8" s="107" t="s">
        <v>12</v>
      </c>
      <c r="C8" s="108"/>
      <c r="D8" s="60"/>
      <c r="E8" s="64"/>
      <c r="F8" s="64"/>
      <c r="G8" s="65"/>
    </row>
    <row r="9" spans="1:7" ht="30">
      <c r="A9" s="44" t="s">
        <v>13</v>
      </c>
      <c r="B9" s="72" t="s">
        <v>14</v>
      </c>
      <c r="C9" s="73"/>
      <c r="D9" s="60"/>
      <c r="E9" s="64"/>
      <c r="F9" s="64"/>
      <c r="G9" s="65"/>
    </row>
    <row r="10" spans="1:7" ht="15">
      <c r="A10" s="2" t="s">
        <v>15</v>
      </c>
      <c r="B10" s="68" t="s">
        <v>16</v>
      </c>
      <c r="C10" s="69"/>
      <c r="D10" s="60"/>
      <c r="E10" s="64"/>
      <c r="F10" s="64"/>
      <c r="G10" s="65"/>
    </row>
    <row r="11" spans="1:7" ht="15.75" thickBot="1">
      <c r="A11" s="45" t="s">
        <v>17</v>
      </c>
      <c r="B11" s="70">
        <v>46042</v>
      </c>
      <c r="C11" s="71"/>
      <c r="D11" s="61"/>
      <c r="E11" s="66"/>
      <c r="F11" s="66"/>
      <c r="G11" s="67"/>
    </row>
    <row r="12" spans="1:7" ht="14.25" customHeight="1" thickBot="1">
      <c r="A12" s="76"/>
      <c r="B12" s="77"/>
      <c r="C12" s="77"/>
      <c r="D12" s="78"/>
      <c r="E12" s="77"/>
      <c r="F12" s="77"/>
      <c r="G12" s="79"/>
    </row>
    <row r="13" spans="1:7" ht="27" customHeight="1">
      <c r="A13" s="80" t="s">
        <v>18</v>
      </c>
      <c r="B13" s="81"/>
      <c r="C13" s="81"/>
      <c r="D13" s="81"/>
      <c r="E13" s="81"/>
      <c r="F13" s="81"/>
      <c r="G13" s="82"/>
    </row>
    <row r="14" spans="1:7" ht="21.75" thickBot="1">
      <c r="A14" s="49" t="s">
        <v>19</v>
      </c>
      <c r="B14" s="50"/>
      <c r="C14" s="50"/>
      <c r="D14" s="50"/>
      <c r="E14" s="50"/>
      <c r="F14" s="50"/>
      <c r="G14" s="51"/>
    </row>
    <row r="15" spans="1:7" s="9" customFormat="1" ht="23.25" customHeight="1" thickBot="1">
      <c r="A15" s="40" t="s">
        <v>20</v>
      </c>
      <c r="B15" s="83" t="s">
        <v>21</v>
      </c>
      <c r="C15" s="83"/>
      <c r="D15" s="84"/>
      <c r="E15" s="12" t="s">
        <v>22</v>
      </c>
      <c r="F15" s="23" t="s">
        <v>23</v>
      </c>
      <c r="G15" s="13" t="s">
        <v>24</v>
      </c>
    </row>
    <row r="16" spans="1:7" ht="15">
      <c r="A16" s="41"/>
      <c r="B16" s="85"/>
      <c r="C16" s="85"/>
      <c r="D16" s="86"/>
      <c r="E16" s="14"/>
      <c r="F16" s="15"/>
      <c r="G16" s="16">
        <f t="shared" ref="G16:G35" si="0">SUM(F16*E16)</f>
        <v>0</v>
      </c>
    </row>
    <row r="17" spans="1:7" ht="15">
      <c r="A17" s="42"/>
      <c r="B17" s="74"/>
      <c r="C17" s="74"/>
      <c r="D17" s="75"/>
      <c r="E17" s="17"/>
      <c r="F17" s="18"/>
      <c r="G17" s="19">
        <f t="shared" si="0"/>
        <v>0</v>
      </c>
    </row>
    <row r="18" spans="1:7" ht="15">
      <c r="A18" s="42"/>
      <c r="B18" s="74"/>
      <c r="C18" s="74"/>
      <c r="D18" s="75"/>
      <c r="E18" s="17"/>
      <c r="F18" s="18"/>
      <c r="G18" s="19">
        <f t="shared" si="0"/>
        <v>0</v>
      </c>
    </row>
    <row r="19" spans="1:7" ht="15">
      <c r="A19" s="42"/>
      <c r="B19" s="74"/>
      <c r="C19" s="74"/>
      <c r="D19" s="75"/>
      <c r="E19" s="17"/>
      <c r="F19" s="18"/>
      <c r="G19" s="19">
        <f t="shared" si="0"/>
        <v>0</v>
      </c>
    </row>
    <row r="20" spans="1:7" ht="15">
      <c r="A20" s="42"/>
      <c r="B20" s="74"/>
      <c r="C20" s="74"/>
      <c r="D20" s="75"/>
      <c r="E20" s="17"/>
      <c r="F20" s="18"/>
      <c r="G20" s="19">
        <f t="shared" si="0"/>
        <v>0</v>
      </c>
    </row>
    <row r="21" spans="1:7" ht="15">
      <c r="A21" s="42"/>
      <c r="B21" s="74"/>
      <c r="C21" s="74"/>
      <c r="D21" s="75"/>
      <c r="E21" s="17"/>
      <c r="F21" s="18"/>
      <c r="G21" s="19">
        <f t="shared" si="0"/>
        <v>0</v>
      </c>
    </row>
    <row r="22" spans="1:7" ht="15">
      <c r="A22" s="42"/>
      <c r="B22" s="74"/>
      <c r="C22" s="74"/>
      <c r="D22" s="75"/>
      <c r="E22" s="17"/>
      <c r="F22" s="18"/>
      <c r="G22" s="19">
        <f t="shared" si="0"/>
        <v>0</v>
      </c>
    </row>
    <row r="23" spans="1:7" ht="15">
      <c r="A23" s="42"/>
      <c r="B23" s="74"/>
      <c r="C23" s="74"/>
      <c r="D23" s="75"/>
      <c r="E23" s="17"/>
      <c r="F23" s="18"/>
      <c r="G23" s="19">
        <f t="shared" si="0"/>
        <v>0</v>
      </c>
    </row>
    <row r="24" spans="1:7" ht="15">
      <c r="A24" s="42"/>
      <c r="B24" s="74"/>
      <c r="C24" s="74"/>
      <c r="D24" s="75"/>
      <c r="E24" s="17"/>
      <c r="F24" s="18"/>
      <c r="G24" s="19">
        <f t="shared" si="0"/>
        <v>0</v>
      </c>
    </row>
    <row r="25" spans="1:7" ht="15">
      <c r="A25" s="42"/>
      <c r="B25" s="74"/>
      <c r="C25" s="74"/>
      <c r="D25" s="75"/>
      <c r="E25" s="17"/>
      <c r="F25" s="18"/>
      <c r="G25" s="19">
        <f t="shared" si="0"/>
        <v>0</v>
      </c>
    </row>
    <row r="26" spans="1:7" ht="15">
      <c r="A26" s="42"/>
      <c r="B26" s="74"/>
      <c r="C26" s="74"/>
      <c r="D26" s="75"/>
      <c r="E26" s="17"/>
      <c r="F26" s="18"/>
      <c r="G26" s="19">
        <f t="shared" si="0"/>
        <v>0</v>
      </c>
    </row>
    <row r="27" spans="1:7" ht="15">
      <c r="A27" s="42"/>
      <c r="B27" s="74"/>
      <c r="C27" s="74"/>
      <c r="D27" s="75"/>
      <c r="E27" s="17"/>
      <c r="F27" s="18"/>
      <c r="G27" s="19">
        <f t="shared" si="0"/>
        <v>0</v>
      </c>
    </row>
    <row r="28" spans="1:7" ht="15">
      <c r="A28" s="42"/>
      <c r="B28" s="74"/>
      <c r="C28" s="74"/>
      <c r="D28" s="75"/>
      <c r="E28" s="17"/>
      <c r="F28" s="18"/>
      <c r="G28" s="19">
        <f t="shared" si="0"/>
        <v>0</v>
      </c>
    </row>
    <row r="29" spans="1:7" ht="15">
      <c r="A29" s="42"/>
      <c r="B29" s="74"/>
      <c r="C29" s="74"/>
      <c r="D29" s="75"/>
      <c r="E29" s="17"/>
      <c r="F29" s="18"/>
      <c r="G29" s="19">
        <f t="shared" si="0"/>
        <v>0</v>
      </c>
    </row>
    <row r="30" spans="1:7" ht="15">
      <c r="A30" s="42"/>
      <c r="B30" s="74"/>
      <c r="C30" s="74"/>
      <c r="D30" s="75"/>
      <c r="E30" s="17"/>
      <c r="F30" s="18"/>
      <c r="G30" s="19">
        <f t="shared" si="0"/>
        <v>0</v>
      </c>
    </row>
    <row r="31" spans="1:7" ht="15">
      <c r="A31" s="42"/>
      <c r="B31" s="74"/>
      <c r="C31" s="74"/>
      <c r="D31" s="75"/>
      <c r="E31" s="17"/>
      <c r="F31" s="18"/>
      <c r="G31" s="19">
        <f t="shared" si="0"/>
        <v>0</v>
      </c>
    </row>
    <row r="32" spans="1:7" ht="15">
      <c r="A32" s="42"/>
      <c r="B32" s="74"/>
      <c r="C32" s="74"/>
      <c r="D32" s="75"/>
      <c r="E32" s="17"/>
      <c r="F32" s="18"/>
      <c r="G32" s="19">
        <f t="shared" si="0"/>
        <v>0</v>
      </c>
    </row>
    <row r="33" spans="1:8" ht="15">
      <c r="A33" s="42"/>
      <c r="B33" s="74"/>
      <c r="C33" s="74"/>
      <c r="D33" s="75"/>
      <c r="E33" s="17"/>
      <c r="F33" s="18"/>
      <c r="G33" s="19">
        <f t="shared" si="0"/>
        <v>0</v>
      </c>
    </row>
    <row r="34" spans="1:8" ht="15">
      <c r="A34" s="42"/>
      <c r="B34" s="74"/>
      <c r="C34" s="74"/>
      <c r="D34" s="75"/>
      <c r="E34" s="17"/>
      <c r="F34" s="18"/>
      <c r="G34" s="19">
        <f t="shared" si="0"/>
        <v>0</v>
      </c>
    </row>
    <row r="35" spans="1:8" ht="15">
      <c r="A35" s="42"/>
      <c r="B35" s="74"/>
      <c r="C35" s="74"/>
      <c r="D35" s="75"/>
      <c r="E35" s="17"/>
      <c r="F35" s="18"/>
      <c r="G35" s="19">
        <f t="shared" si="0"/>
        <v>0</v>
      </c>
    </row>
    <row r="36" spans="1:8" ht="15">
      <c r="A36" s="89"/>
      <c r="B36" s="90"/>
      <c r="C36" s="90"/>
      <c r="D36" s="90"/>
      <c r="E36" s="90"/>
      <c r="F36" s="10" t="s">
        <v>25</v>
      </c>
      <c r="G36" s="20">
        <f>SUM(G15:G35)</f>
        <v>0</v>
      </c>
    </row>
    <row r="37" spans="1:8" ht="15">
      <c r="A37" s="89"/>
      <c r="B37" s="90"/>
      <c r="C37" s="90"/>
      <c r="D37" s="90"/>
      <c r="E37" s="90"/>
      <c r="F37" s="10" t="s">
        <v>26</v>
      </c>
      <c r="G37" s="21">
        <f>G36*0.2</f>
        <v>0</v>
      </c>
    </row>
    <row r="38" spans="1:8" ht="15.75" thickBot="1">
      <c r="A38" s="91"/>
      <c r="B38" s="92"/>
      <c r="C38" s="92"/>
      <c r="D38" s="92"/>
      <c r="E38" s="92"/>
      <c r="F38" s="11" t="s">
        <v>27</v>
      </c>
      <c r="G38" s="22">
        <f>SUM(G36+G37)</f>
        <v>0</v>
      </c>
    </row>
    <row r="39" spans="1:8" ht="39" customHeight="1" thickBot="1">
      <c r="A39" s="93" t="s">
        <v>28</v>
      </c>
      <c r="B39" s="94"/>
      <c r="C39" s="94"/>
      <c r="D39" s="94"/>
      <c r="E39" s="94"/>
      <c r="F39" s="94"/>
      <c r="G39" s="95"/>
      <c r="H39" s="8"/>
    </row>
    <row r="40" spans="1:8" ht="44.25" customHeight="1" thickBot="1">
      <c r="A40" s="100" t="s">
        <v>29</v>
      </c>
      <c r="B40" s="101"/>
      <c r="C40" s="101"/>
      <c r="D40" s="101"/>
      <c r="E40" s="102" t="str">
        <f>_xlfn.IFNA(VLOOKUP(B7,'Data validation'!B2:C51,2,FALSE),"This section should auto-complete if you have chosen your programme in section 1.")</f>
        <v>fse-student-purchasing@bristol.ac.uk</v>
      </c>
      <c r="F40" s="102"/>
      <c r="G40" s="103"/>
    </row>
    <row r="41" spans="1:8" ht="11.25" customHeight="1" thickBot="1">
      <c r="A41" s="96"/>
      <c r="B41" s="96"/>
      <c r="C41" s="96"/>
      <c r="D41" s="96"/>
      <c r="E41" s="96"/>
      <c r="F41" s="96"/>
      <c r="G41" s="96"/>
    </row>
    <row r="42" spans="1:8" ht="23.25" customHeight="1" thickBot="1">
      <c r="A42" s="97" t="s">
        <v>30</v>
      </c>
      <c r="B42" s="98"/>
      <c r="C42" s="98"/>
      <c r="D42" s="98"/>
      <c r="E42" s="98"/>
      <c r="F42" s="98"/>
      <c r="G42" s="99"/>
    </row>
    <row r="43" spans="1:8" ht="17.25" customHeight="1" thickBot="1">
      <c r="A43" s="24" t="s">
        <v>31</v>
      </c>
      <c r="B43" s="27"/>
      <c r="C43" s="34" t="s">
        <v>32</v>
      </c>
      <c r="D43" s="35"/>
      <c r="E43" s="87" t="s">
        <v>33</v>
      </c>
      <c r="F43" s="104"/>
      <c r="G43" s="30"/>
    </row>
    <row r="44" spans="1:8" ht="17.25" customHeight="1" thickBot="1">
      <c r="A44" s="25"/>
      <c r="C44" s="31" t="s">
        <v>34</v>
      </c>
      <c r="D44" s="33"/>
      <c r="E44" s="87" t="s">
        <v>35</v>
      </c>
      <c r="F44" s="104"/>
      <c r="G44" s="30"/>
    </row>
    <row r="45" spans="1:8" ht="17.25" customHeight="1" thickBot="1">
      <c r="A45" s="25"/>
      <c r="B45" s="29"/>
      <c r="C45" s="32" t="s">
        <v>36</v>
      </c>
      <c r="D45" s="33"/>
      <c r="E45" s="87" t="s">
        <v>37</v>
      </c>
      <c r="F45" s="104"/>
      <c r="G45" s="30"/>
    </row>
    <row r="46" spans="1:8" ht="9" customHeight="1" thickBot="1">
      <c r="A46" s="25"/>
      <c r="B46" s="29"/>
      <c r="C46" s="29"/>
      <c r="D46" s="33"/>
      <c r="E46" s="37"/>
      <c r="F46" s="38"/>
      <c r="G46" s="39"/>
    </row>
    <row r="47" spans="1:8" ht="17.25" customHeight="1" thickBot="1">
      <c r="A47" s="25"/>
      <c r="B47" s="29"/>
      <c r="C47" s="31" t="s">
        <v>38</v>
      </c>
      <c r="D47" s="33"/>
      <c r="E47" s="87" t="s">
        <v>39</v>
      </c>
      <c r="F47" s="88"/>
      <c r="G47" s="30"/>
    </row>
    <row r="48" spans="1:8" ht="17.25" customHeight="1" thickBot="1">
      <c r="A48" s="25"/>
      <c r="B48" s="29"/>
      <c r="C48" s="29"/>
      <c r="D48" s="33"/>
      <c r="E48" s="87" t="s">
        <v>40</v>
      </c>
      <c r="F48" s="88"/>
      <c r="G48" s="30"/>
    </row>
    <row r="49" spans="1:7" ht="17.25" customHeight="1" thickBot="1">
      <c r="A49" s="25"/>
      <c r="B49" s="29"/>
      <c r="C49" s="29"/>
      <c r="D49" s="33"/>
      <c r="E49" s="87" t="s">
        <v>41</v>
      </c>
      <c r="F49" s="88"/>
      <c r="G49" s="30"/>
    </row>
    <row r="50" spans="1:7" ht="17.25" customHeight="1" thickBot="1">
      <c r="A50" s="26"/>
      <c r="B50" s="28"/>
      <c r="C50" s="28"/>
      <c r="D50" s="36"/>
      <c r="E50" s="87" t="s">
        <v>42</v>
      </c>
      <c r="F50" s="88"/>
      <c r="G50" s="30"/>
    </row>
    <row r="51" spans="1:7" ht="21" customHeight="1">
      <c r="G51" s="4" t="s">
        <v>43</v>
      </c>
    </row>
    <row r="58" spans="1:7" ht="13.5" customHeight="1"/>
    <row r="72" ht="14.25" customHeight="1"/>
    <row r="84" ht="14.25" customHeight="1"/>
  </sheetData>
  <sheetProtection selectLockedCells="1" selectUnlockedCells="1"/>
  <mergeCells count="51">
    <mergeCell ref="E49:F49"/>
    <mergeCell ref="E50:F50"/>
    <mergeCell ref="A36:E38"/>
    <mergeCell ref="A39:G39"/>
    <mergeCell ref="A41:G41"/>
    <mergeCell ref="A42:G42"/>
    <mergeCell ref="A40:D40"/>
    <mergeCell ref="E40:G40"/>
    <mergeCell ref="E44:F44"/>
    <mergeCell ref="E48:F48"/>
    <mergeCell ref="E43:F43"/>
    <mergeCell ref="E45:F45"/>
    <mergeCell ref="E47:F47"/>
    <mergeCell ref="B35:D35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23:D23"/>
    <mergeCell ref="A12:G12"/>
    <mergeCell ref="A13:G13"/>
    <mergeCell ref="A14:G14"/>
    <mergeCell ref="B15:D15"/>
    <mergeCell ref="B16:D16"/>
    <mergeCell ref="B17:D17"/>
    <mergeCell ref="B18:D18"/>
    <mergeCell ref="B19:D19"/>
    <mergeCell ref="B20:D20"/>
    <mergeCell ref="B21:D21"/>
    <mergeCell ref="B22:D22"/>
    <mergeCell ref="B7:C7"/>
    <mergeCell ref="D7:D11"/>
    <mergeCell ref="E7:G11"/>
    <mergeCell ref="B8:C8"/>
    <mergeCell ref="B10:C10"/>
    <mergeCell ref="B11:C11"/>
    <mergeCell ref="B9:C9"/>
    <mergeCell ref="A1:G3"/>
    <mergeCell ref="A4:C4"/>
    <mergeCell ref="D4:G4"/>
    <mergeCell ref="B5:C5"/>
    <mergeCell ref="D5:D6"/>
    <mergeCell ref="E5:G6"/>
    <mergeCell ref="B6:C6"/>
  </mergeCells>
  <conditionalFormatting sqref="F16:F35">
    <cfRule type="cellIs" dxfId="0" priority="1" stopIfTrue="1" operator="equal">
      <formula>0</formula>
    </cfRule>
  </conditionalFormatting>
  <pageMargins left="0.44" right="0.25" top="0.49" bottom="0.35" header="0.3" footer="0.3"/>
  <pageSetup paperSize="9" scale="84" firstPageNumber="0" orientation="portrait" horizontalDpi="300" verticalDpi="300" r:id="rId1"/>
  <headerFooter alignWithMargins="0"/>
  <colBreaks count="1" manualBreakCount="1">
    <brk id="7" max="1048575" man="1"/>
  </col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xWindow="479" yWindow="388" count="1">
        <x14:dataValidation type="list" showInputMessage="1" showErrorMessage="1" prompt="Click to select your course" xr:uid="{FD366AD5-16F7-4B5E-96FB-DE08E664A380}">
          <x14:formula1>
            <xm:f>'Data validation'!$B$2:$B$61</xm:f>
          </x14:formula1>
          <xm:sqref>B7:C7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90FF9-B498-46CB-A89C-19FF17713FE0}">
  <sheetPr codeName="Sheet2"/>
  <dimension ref="B1:C49"/>
  <sheetViews>
    <sheetView zoomScale="90" zoomScaleNormal="90" workbookViewId="0">
      <selection activeCell="F15" sqref="F15"/>
    </sheetView>
  </sheetViews>
  <sheetFormatPr defaultColWidth="9.140625" defaultRowHeight="15"/>
  <cols>
    <col min="1" max="1" width="9.140625" style="5"/>
    <col min="2" max="2" width="55.5703125" style="5" bestFit="1" customWidth="1"/>
    <col min="3" max="3" width="35.42578125" style="5" customWidth="1"/>
    <col min="4" max="16384" width="9.140625" style="5"/>
  </cols>
  <sheetData>
    <row r="1" spans="2:3">
      <c r="B1" s="7" t="s">
        <v>44</v>
      </c>
      <c r="C1" s="7" t="s">
        <v>45</v>
      </c>
    </row>
    <row r="2" spans="2:3">
      <c r="B2" s="5" t="s">
        <v>46</v>
      </c>
      <c r="C2" s="6" t="s">
        <v>47</v>
      </c>
    </row>
    <row r="3" spans="2:3">
      <c r="B3" s="5" t="s">
        <v>9</v>
      </c>
      <c r="C3" s="6" t="s">
        <v>47</v>
      </c>
    </row>
    <row r="4" spans="2:3">
      <c r="B4" s="5" t="s">
        <v>48</v>
      </c>
      <c r="C4" s="6" t="s">
        <v>47</v>
      </c>
    </row>
    <row r="5" spans="2:3">
      <c r="B5" s="5" t="s">
        <v>49</v>
      </c>
      <c r="C5" s="6" t="s">
        <v>47</v>
      </c>
    </row>
    <row r="6" spans="2:3">
      <c r="B6" s="5" t="s">
        <v>50</v>
      </c>
      <c r="C6" s="6" t="s">
        <v>47</v>
      </c>
    </row>
    <row r="7" spans="2:3">
      <c r="B7" s="5" t="s">
        <v>51</v>
      </c>
      <c r="C7" s="6" t="s">
        <v>47</v>
      </c>
    </row>
    <row r="8" spans="2:3">
      <c r="B8" s="5" t="s">
        <v>52</v>
      </c>
      <c r="C8" s="6" t="s">
        <v>47</v>
      </c>
    </row>
    <row r="9" spans="2:3">
      <c r="B9" s="5" t="s">
        <v>53</v>
      </c>
      <c r="C9" s="6" t="s">
        <v>47</v>
      </c>
    </row>
    <row r="10" spans="2:3">
      <c r="B10" s="5" t="s">
        <v>54</v>
      </c>
      <c r="C10" s="6" t="s">
        <v>55</v>
      </c>
    </row>
    <row r="11" spans="2:3">
      <c r="B11" s="5" t="s">
        <v>56</v>
      </c>
      <c r="C11" s="6" t="s">
        <v>55</v>
      </c>
    </row>
    <row r="12" spans="2:3">
      <c r="B12" s="5" t="s">
        <v>57</v>
      </c>
      <c r="C12" s="6" t="s">
        <v>47</v>
      </c>
    </row>
    <row r="13" spans="2:3">
      <c r="B13" s="5" t="s">
        <v>58</v>
      </c>
      <c r="C13" s="6" t="s">
        <v>47</v>
      </c>
    </row>
    <row r="14" spans="2:3">
      <c r="B14" s="5" t="s">
        <v>59</v>
      </c>
      <c r="C14" s="6" t="s">
        <v>47</v>
      </c>
    </row>
    <row r="15" spans="2:3">
      <c r="B15" s="5" t="s">
        <v>60</v>
      </c>
      <c r="C15" s="6" t="s">
        <v>47</v>
      </c>
    </row>
    <row r="16" spans="2:3">
      <c r="B16" s="5" t="s">
        <v>61</v>
      </c>
      <c r="C16" s="6" t="s">
        <v>47</v>
      </c>
    </row>
    <row r="17" spans="2:3">
      <c r="B17" s="5" t="s">
        <v>62</v>
      </c>
      <c r="C17" s="6" t="s">
        <v>47</v>
      </c>
    </row>
    <row r="18" spans="2:3">
      <c r="B18" s="5" t="s">
        <v>63</v>
      </c>
      <c r="C18" s="6" t="s">
        <v>47</v>
      </c>
    </row>
    <row r="19" spans="2:3">
      <c r="B19" s="5" t="s">
        <v>64</v>
      </c>
      <c r="C19" s="6" t="s">
        <v>47</v>
      </c>
    </row>
    <row r="20" spans="2:3">
      <c r="B20" s="5" t="s">
        <v>65</v>
      </c>
      <c r="C20" s="6" t="s">
        <v>55</v>
      </c>
    </row>
    <row r="21" spans="2:3">
      <c r="B21" s="5" t="s">
        <v>66</v>
      </c>
      <c r="C21" s="6" t="s">
        <v>55</v>
      </c>
    </row>
    <row r="22" spans="2:3">
      <c r="B22" s="5" t="s">
        <v>67</v>
      </c>
      <c r="C22" s="6" t="s">
        <v>55</v>
      </c>
    </row>
    <row r="23" spans="2:3">
      <c r="B23" s="5" t="s">
        <v>68</v>
      </c>
      <c r="C23" s="6" t="s">
        <v>55</v>
      </c>
    </row>
    <row r="24" spans="2:3">
      <c r="B24" s="5" t="s">
        <v>69</v>
      </c>
      <c r="C24" s="6" t="s">
        <v>55</v>
      </c>
    </row>
    <row r="25" spans="2:3">
      <c r="B25" s="5" t="s">
        <v>70</v>
      </c>
      <c r="C25" s="6" t="s">
        <v>55</v>
      </c>
    </row>
    <row r="26" spans="2:3">
      <c r="B26" s="5" t="s">
        <v>71</v>
      </c>
      <c r="C26" s="6" t="s">
        <v>47</v>
      </c>
    </row>
    <row r="27" spans="2:3">
      <c r="B27" s="5" t="s">
        <v>72</v>
      </c>
      <c r="C27" s="6" t="s">
        <v>47</v>
      </c>
    </row>
    <row r="28" spans="2:3">
      <c r="B28" s="5" t="s">
        <v>73</v>
      </c>
      <c r="C28" s="6" t="s">
        <v>47</v>
      </c>
    </row>
    <row r="29" spans="2:3">
      <c r="B29" s="5" t="s">
        <v>74</v>
      </c>
      <c r="C29" s="6" t="s">
        <v>47</v>
      </c>
    </row>
    <row r="30" spans="2:3">
      <c r="B30" s="5" t="s">
        <v>75</v>
      </c>
      <c r="C30" s="6" t="s">
        <v>47</v>
      </c>
    </row>
    <row r="31" spans="2:3">
      <c r="B31" s="5" t="s">
        <v>76</v>
      </c>
      <c r="C31" s="6" t="s">
        <v>47</v>
      </c>
    </row>
    <row r="32" spans="2:3">
      <c r="B32" s="5" t="s">
        <v>77</v>
      </c>
      <c r="C32" s="6" t="s">
        <v>47</v>
      </c>
    </row>
    <row r="33" spans="2:3">
      <c r="B33" s="5" t="s">
        <v>78</v>
      </c>
      <c r="C33" s="6" t="s">
        <v>47</v>
      </c>
    </row>
    <row r="34" spans="2:3">
      <c r="B34" s="5" t="s">
        <v>79</v>
      </c>
      <c r="C34" s="6" t="s">
        <v>47</v>
      </c>
    </row>
    <row r="35" spans="2:3">
      <c r="B35" s="5" t="s">
        <v>80</v>
      </c>
      <c r="C35" s="6" t="s">
        <v>47</v>
      </c>
    </row>
    <row r="36" spans="2:3">
      <c r="B36" s="5" t="s">
        <v>81</v>
      </c>
      <c r="C36" s="6" t="s">
        <v>47</v>
      </c>
    </row>
    <row r="37" spans="2:3">
      <c r="B37" s="5" t="s">
        <v>82</v>
      </c>
      <c r="C37" s="6" t="s">
        <v>47</v>
      </c>
    </row>
    <row r="38" spans="2:3">
      <c r="B38" s="5" t="s">
        <v>83</v>
      </c>
      <c r="C38" s="6" t="s">
        <v>47</v>
      </c>
    </row>
    <row r="39" spans="2:3">
      <c r="B39" s="5" t="s">
        <v>84</v>
      </c>
      <c r="C39" s="6" t="s">
        <v>47</v>
      </c>
    </row>
    <row r="40" spans="2:3">
      <c r="B40" s="5" t="s">
        <v>85</v>
      </c>
      <c r="C40" s="6" t="s">
        <v>47</v>
      </c>
    </row>
    <row r="41" spans="2:3">
      <c r="B41" s="5" t="s">
        <v>86</v>
      </c>
      <c r="C41" s="6" t="s">
        <v>47</v>
      </c>
    </row>
    <row r="42" spans="2:3">
      <c r="B42" s="5" t="s">
        <v>87</v>
      </c>
      <c r="C42" s="6" t="s">
        <v>47</v>
      </c>
    </row>
    <row r="43" spans="2:3">
      <c r="B43" s="5" t="s">
        <v>88</v>
      </c>
      <c r="C43" s="6" t="s">
        <v>47</v>
      </c>
    </row>
    <row r="44" spans="2:3">
      <c r="B44" s="5" t="s">
        <v>89</v>
      </c>
      <c r="C44" s="6" t="s">
        <v>47</v>
      </c>
    </row>
    <row r="45" spans="2:3">
      <c r="B45" s="5" t="s">
        <v>90</v>
      </c>
      <c r="C45" s="6" t="s">
        <v>55</v>
      </c>
    </row>
    <row r="46" spans="2:3">
      <c r="B46" s="5" t="s">
        <v>91</v>
      </c>
      <c r="C46" s="6" t="s">
        <v>55</v>
      </c>
    </row>
    <row r="47" spans="2:3">
      <c r="B47" s="5" t="s">
        <v>92</v>
      </c>
      <c r="C47" s="6" t="s">
        <v>55</v>
      </c>
    </row>
    <row r="48" spans="2:3">
      <c r="B48" s="5" t="s">
        <v>93</v>
      </c>
      <c r="C48" s="6" t="s">
        <v>55</v>
      </c>
    </row>
    <row r="49" spans="2:3">
      <c r="B49" s="5" t="s">
        <v>94</v>
      </c>
      <c r="C49" s="6" t="s">
        <v>55</v>
      </c>
    </row>
  </sheetData>
  <sheetProtection selectLockedCells="1" selectUnlockedCell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1E01647FC2C8409CC3F834D1E78CC5" ma:contentTypeVersion="12" ma:contentTypeDescription="Create a new document." ma:contentTypeScope="" ma:versionID="5286338fdececfe9898890536b6d4538">
  <xsd:schema xmlns:xsd="http://www.w3.org/2001/XMLSchema" xmlns:xs="http://www.w3.org/2001/XMLSchema" xmlns:p="http://schemas.microsoft.com/office/2006/metadata/properties" xmlns:ns2="00f2a6ac-561b-4344-8e83-b9bccbe8c428" xmlns:ns3="e62d381a-0c1e-4365-98be-5b71e3590203" targetNamespace="http://schemas.microsoft.com/office/2006/metadata/properties" ma:root="true" ma:fieldsID="c493c6ae8437c9c662b5fef03c427d16" ns2:_="" ns3:_="">
    <xsd:import namespace="00f2a6ac-561b-4344-8e83-b9bccbe8c428"/>
    <xsd:import namespace="e62d381a-0c1e-4365-98be-5b71e35902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2a6ac-561b-4344-8e83-b9bccbe8c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2d381a-0c1e-4365-98be-5b71e359020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c8324c-cbf8-4527-92e8-c620a6e06eb3}" ma:internalName="TaxCatchAll" ma:showField="CatchAllData" ma:web="e62d381a-0c1e-4365-98be-5b71e35902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0f2a6ac-561b-4344-8e83-b9bccbe8c428">
      <Terms xmlns="http://schemas.microsoft.com/office/infopath/2007/PartnerControls"/>
    </lcf76f155ced4ddcb4097134ff3c332f>
    <TaxCatchAll xmlns="e62d381a-0c1e-4365-98be-5b71e3590203" xsi:nil="true"/>
  </documentManagement>
</p:properties>
</file>

<file path=customXml/itemProps1.xml><?xml version="1.0" encoding="utf-8"?>
<ds:datastoreItem xmlns:ds="http://schemas.openxmlformats.org/officeDocument/2006/customXml" ds:itemID="{758288C2-0A1F-4E03-9C98-B0B0DBC43BF6}"/>
</file>

<file path=customXml/itemProps2.xml><?xml version="1.0" encoding="utf-8"?>
<ds:datastoreItem xmlns:ds="http://schemas.openxmlformats.org/officeDocument/2006/customXml" ds:itemID="{DA20C0C1-60E9-4FE0-84AC-4CCB713DDE2A}"/>
</file>

<file path=customXml/itemProps3.xml><?xml version="1.0" encoding="utf-8"?>
<ds:datastoreItem xmlns:ds="http://schemas.openxmlformats.org/officeDocument/2006/customXml" ds:itemID="{8747D30A-1CFB-4EEC-99B8-C11833D405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Rich.J.Walker@bristol.ac.uk</dc:creator>
  <cp:keywords/>
  <dc:description/>
  <cp:lastModifiedBy/>
  <cp:revision/>
  <dcterms:created xsi:type="dcterms:W3CDTF">2011-09-14T14:41:15Z</dcterms:created>
  <dcterms:modified xsi:type="dcterms:W3CDTF">2026-01-20T15:00:27Z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0x010100261E01647FC2C8409CC3F834D1E78CC5</vt:lpwstr>
  </property>
  <property fmtid="{D5CDD505-2E9C-101B-9397-08002B2CF9AE}" pid="3" name="MediaServiceImageTags">
    <vt:lpwstr/>
  </property>
</Properties>
</file>